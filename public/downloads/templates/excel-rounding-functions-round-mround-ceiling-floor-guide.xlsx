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nding Family" state="visible" r:id="rId4"/>
    <sheet sheetId="2" name="Invoice Rounding" state="visible" r:id="rId5"/>
    <sheet sheetId="3" name="Time Rounding" state="visible" r:id="rId6"/>
  </sheets>
  <calcPr calcId="171027"/>
</workbook>
</file>

<file path=xl/sharedStrings.xml><?xml version="1.0" encoding="utf-8"?>
<sst xmlns="http://schemas.openxmlformats.org/spreadsheetml/2006/main" count="22" uniqueCount="22">
  <si>
    <t>Raw Value</t>
  </si>
  <si>
    <t>ROUND (2 dp)</t>
  </si>
  <si>
    <t>ROUNDUP (2 dp)</t>
  </si>
  <si>
    <t>ROUNDDOWN (2 dp)</t>
  </si>
  <si>
    <t>MROUND (to 5)</t>
  </si>
  <si>
    <t>CEILING (to 1)</t>
  </si>
  <si>
    <t>FLOOR (to 1)</t>
  </si>
  <si>
    <t>Yellow cells are inputs — edit them and every formula recalculates.</t>
  </si>
  <si>
    <t>ROUNDUP rounds away from zero (so -2.141 becomes -2.15); ROUNDDOWN rounds toward zero.</t>
  </si>
  <si>
    <t>Negative num_digits: ROUND(A4,-2) rounds 1234.567 to the nearest hundred (1200).</t>
  </si>
  <si>
    <t>Unit Price</t>
  </si>
  <si>
    <t>Qty</t>
  </si>
  <si>
    <t>Line Total (ROUND)</t>
  </si>
  <si>
    <t>Line Total (ROUNDUP)</t>
  </si>
  <si>
    <t>Totals: =ROUND(SUM(C2:C7),2) matches the rounded lines; =ROUNDUP(SUM(D2:D7),2) always rounds the invoice up in your favor.</t>
  </si>
  <si>
    <t>Round each line first when lines are quoted to customers; round at the end only when the total is the quoted figure.</t>
  </si>
  <si>
    <t>Raw Hours</t>
  </si>
  <si>
    <t>Nearest 0.25 hr (MROUND)</t>
  </si>
  <si>
    <t>Always Up (CEILING to 1)</t>
  </si>
  <si>
    <t>Always Down (FLOOR to 1)</t>
  </si>
  <si>
    <t>For true time values (fraction of a day), use =MROUND(D2, "0:15") and format the result cell as a time.</t>
  </si>
  <si>
    <t>MROUND rounds half away from zero, matching ROUND's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</si>
</sst>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F7A53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5" customWidth="1"/>
    <col min="4" max="4" width="17" customWidth="1"/>
    <col min="5" max="5" width="14" customWidth="1"/>
    <col min="6" max="6" width="15" customWidth="1"/>
    <col min="7" max="7" width="1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19.999</v>
      </c>
      <c r="B2">
        <f>ROUND(A2,2)</f>
      </c>
      <c r="C2">
        <f>ROUNDUP(A2,2)</f>
      </c>
      <c r="D2">
        <f>ROUNDDOWN(A2,2)</f>
      </c>
      <c r="E2">
        <f>MROUND(A2,5)</f>
      </c>
      <c r="F2">
        <f>CEILING(A2,1)</f>
      </c>
      <c r="G2">
        <f>FLOOR(A2,1)</f>
      </c>
    </row>
    <row r="3" spans="1:7" x14ac:dyDescent="0.25">
      <c r="A3" s="2">
        <v>7.983</v>
      </c>
      <c r="B3">
        <f>ROUND(A3,2)</f>
      </c>
      <c r="C3">
        <f>ROUNDUP(A3,2)</f>
      </c>
      <c r="D3">
        <f>ROUNDDOWN(A3,2)</f>
      </c>
      <c r="E3">
        <f>MROUND(A3,5)</f>
      </c>
      <c r="F3">
        <f>CEILING(A3,1)</f>
      </c>
      <c r="G3">
        <f>FLOOR(A3,1)</f>
      </c>
    </row>
    <row r="4" spans="1:7" x14ac:dyDescent="0.25">
      <c r="A4" s="2">
        <v>1234.567</v>
      </c>
      <c r="B4">
        <f>ROUND(A4,2)</f>
      </c>
      <c r="C4">
        <f>ROUNDUP(A4,2)</f>
      </c>
      <c r="D4">
        <f>ROUNDDOWN(A4,2)</f>
      </c>
      <c r="E4">
        <f>MROUND(A4,5)</f>
      </c>
      <c r="F4">
        <f>CEILING(A4,1)</f>
      </c>
      <c r="G4">
        <f>FLOOR(A4,1)</f>
      </c>
    </row>
    <row r="5" spans="1:7" x14ac:dyDescent="0.25">
      <c r="A5" s="2">
        <v>2.141</v>
      </c>
      <c r="B5">
        <f>ROUND(A5,2)</f>
      </c>
      <c r="C5">
        <f>ROUNDUP(A5,2)</f>
      </c>
      <c r="D5">
        <f>ROUNDDOWN(A5,2)</f>
      </c>
      <c r="E5">
        <f>MROUND(A5,5)</f>
      </c>
      <c r="F5">
        <f>CEILING(A5,1)</f>
      </c>
      <c r="G5">
        <f>FLOOR(A5,1)</f>
      </c>
    </row>
    <row r="6" spans="1:7" x14ac:dyDescent="0.25">
      <c r="A6" s="2">
        <v>-2.141</v>
      </c>
      <c r="B6">
        <f>ROUND(A6,2)</f>
      </c>
      <c r="C6">
        <f>ROUNDUP(A6,2)</f>
      </c>
      <c r="D6">
        <f>ROUNDDOWN(A6,2)</f>
      </c>
      <c r="E6">
        <f>MROUND(A6,5)</f>
      </c>
      <c r="F6">
        <f>CEILING(A6,1)</f>
      </c>
      <c r="G6">
        <f>FLOOR(A6,1)</f>
      </c>
    </row>
    <row r="7" spans="1:7" x14ac:dyDescent="0.25">
      <c r="A7" s="2">
        <v>-2.149</v>
      </c>
      <c r="B7">
        <f>ROUND(A7,2)</f>
      </c>
      <c r="C7">
        <f>ROUNDUP(A7,2)</f>
      </c>
      <c r="D7">
        <f>ROUNDDOWN(A7,2)</f>
      </c>
      <c r="E7">
        <f>MROUND(A7,5)</f>
      </c>
      <c r="F7">
        <f>CEILING(A7,1)</f>
      </c>
      <c r="G7">
        <f>FLOOR(A7,1)</f>
      </c>
    </row>
    <row r="8" spans="1:7" x14ac:dyDescent="0.25">
      <c r="A8" s="2">
        <v>62.5</v>
      </c>
      <c r="B8">
        <f>ROUND(A8,2)</f>
      </c>
      <c r="C8">
        <f>ROUNDUP(A8,2)</f>
      </c>
      <c r="D8">
        <f>ROUNDDOWN(A8,2)</f>
      </c>
      <c r="E8">
        <f>MROUND(A8,5)</f>
      </c>
      <c r="F8">
        <f>CEILING(A8,1)</f>
      </c>
      <c r="G8">
        <f>FLOOR(A8,1)</f>
      </c>
    </row>
    <row r="9" spans="1:7" x14ac:dyDescent="0.25">
      <c r="A9" s="2">
        <v>8.501</v>
      </c>
      <c r="B9">
        <f>ROUND(A9,2)</f>
      </c>
      <c r="C9">
        <f>ROUNDUP(A9,2)</f>
      </c>
      <c r="D9">
        <f>ROUNDDOWN(A9,2)</f>
      </c>
      <c r="E9">
        <f>MROUND(A9,5)</f>
      </c>
      <c r="F9">
        <f>CEILING(A9,1)</f>
      </c>
      <c r="G9">
        <f>FLOOR(A9,1)</f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20" customWidth="1"/>
  </cols>
  <sheetData>
    <row r="1" ht="22" customHeight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s="2">
        <v>19.999</v>
      </c>
      <c r="B2" s="2">
        <v>3</v>
      </c>
      <c r="C2">
        <f>ROUND(A2*B2,2)</f>
      </c>
      <c r="D2">
        <f>ROUNDUP(A2*B2,2)</f>
      </c>
    </row>
    <row r="3" spans="1:4" x14ac:dyDescent="0.25">
      <c r="A3" s="2">
        <v>4.995</v>
      </c>
      <c r="B3" s="2">
        <v>2</v>
      </c>
      <c r="C3">
        <f>ROUND(A3*B3,2)</f>
      </c>
      <c r="D3">
        <f>ROUNDUP(A3*B3,2)</f>
      </c>
    </row>
    <row r="4" spans="1:4" x14ac:dyDescent="0.25">
      <c r="A4" s="2">
        <v>12.495</v>
      </c>
      <c r="B4" s="2">
        <v>1</v>
      </c>
      <c r="C4">
        <f>ROUND(A4*B4,2)</f>
      </c>
      <c r="D4">
        <f>ROUNDUP(A4*B4,2)</f>
      </c>
    </row>
    <row r="5" spans="1:4" x14ac:dyDescent="0.25">
      <c r="A5" s="2">
        <v>7.483</v>
      </c>
      <c r="B5" s="2">
        <v>4</v>
      </c>
      <c r="C5">
        <f>ROUND(A5*B5,2)</f>
      </c>
      <c r="D5">
        <f>ROUNDUP(A5*B5,2)</f>
      </c>
    </row>
    <row r="6" spans="1:4" x14ac:dyDescent="0.25">
      <c r="A6" s="2">
        <v>3.335</v>
      </c>
      <c r="B6" s="2">
        <v>5</v>
      </c>
      <c r="C6">
        <f>ROUND(A6*B6,2)</f>
      </c>
      <c r="D6">
        <f>ROUNDUP(A6*B6,2)</f>
      </c>
    </row>
    <row r="7" spans="1:4" x14ac:dyDescent="0.25">
      <c r="A7" s="2">
        <v>9.997</v>
      </c>
      <c r="B7" s="2">
        <v>2</v>
      </c>
      <c r="C7">
        <f>ROUND(A7*B7,2)</f>
      </c>
      <c r="D7">
        <f>ROUNDUP(A7*B7,2)</f>
      </c>
    </row>
    <row r="9" spans="1:1" x14ac:dyDescent="0.25">
      <c r="A9" s="3" t="s">
        <v>14</v>
      </c>
    </row>
    <row r="10" spans="1:1" x14ac:dyDescent="0.25">
      <c r="A1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22" customWidth="1"/>
  </cols>
  <sheetData>
    <row r="1" ht="22" customHeight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 s="2">
        <v>7.983</v>
      </c>
      <c r="B2">
        <f>MROUND(A2,0.25)</f>
      </c>
      <c r="C2">
        <f>CEILING(A2,1)</f>
      </c>
      <c r="D2">
        <f>FLOOR(A2,1)</f>
      </c>
    </row>
    <row r="3" spans="1:4" x14ac:dyDescent="0.25">
      <c r="A3" s="2">
        <v>6.11</v>
      </c>
      <c r="B3">
        <f>MROUND(A3,0.25)</f>
      </c>
      <c r="C3">
        <f>CEILING(A3,1)</f>
      </c>
      <c r="D3">
        <f>FLOOR(A3,1)</f>
      </c>
    </row>
    <row r="4" spans="1:4" x14ac:dyDescent="0.25">
      <c r="A4" s="2">
        <v>8.5</v>
      </c>
      <c r="B4">
        <f>MROUND(A4,0.25)</f>
      </c>
      <c r="C4">
        <f>CEILING(A4,1)</f>
      </c>
      <c r="D4">
        <f>FLOOR(A4,1)</f>
      </c>
    </row>
    <row r="5" spans="1:4" x14ac:dyDescent="0.25">
      <c r="A5" s="2">
        <v>4.24</v>
      </c>
      <c r="B5">
        <f>MROUND(A5,0.25)</f>
      </c>
      <c r="C5">
        <f>CEILING(A5,1)</f>
      </c>
      <c r="D5">
        <f>FLOOR(A5,1)</f>
      </c>
    </row>
    <row r="7" spans="1:1" x14ac:dyDescent="0.25">
      <c r="A7" s="3" t="s">
        <v>20</v>
      </c>
    </row>
    <row r="8" spans="1:1" x14ac:dyDescent="0.25">
      <c r="A8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Rounding Family</vt:lpstr>
      <vt:lpstr>Invoice Rounding</vt:lpstr>
      <vt:lpstr>Time Rounding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SheetHub (sheethub.web.id)</dc:creator>
  <dc:title/>
  <dc:subject/>
  <dc:description/>
  <cp:keywords/>
  <cp:category/>
  <cp:lastModifiedBy>Unknown</cp:lastModifiedBy>
  <dcterms:created xsi:type="dcterms:W3CDTF">2026-08-30T06:28:35Z</dcterms:created>
  <dcterms:modified xsi:type="dcterms:W3CDTF">2026-08-30T06:28:35Z</dcterms:modified>
</cp:coreProperties>
</file>