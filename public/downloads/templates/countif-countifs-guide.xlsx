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 Data" state="visible" r:id="rId4"/>
    <sheet sheetId="2" name="Summary Formulas" state="visible" r:id="rId5"/>
  </sheets>
  <calcPr calcId="171027"/>
</workbook>
</file>

<file path=xl/sharedStrings.xml><?xml version="1.0" encoding="utf-8"?>
<sst xmlns="http://schemas.openxmlformats.org/spreadsheetml/2006/main" count="61" uniqueCount="46">
  <si>
    <t>Product</t>
  </si>
  <si>
    <t>Region</t>
  </si>
  <si>
    <t>Amount</t>
  </si>
  <si>
    <t>Order Date</t>
  </si>
  <si>
    <t>Product A</t>
  </si>
  <si>
    <t>East</t>
  </si>
  <si>
    <t>2025-11-04</t>
  </si>
  <si>
    <t>Widget Pro</t>
  </si>
  <si>
    <t>West</t>
  </si>
  <si>
    <t>2025-12-12</t>
  </si>
  <si>
    <t>2026-01-09</t>
  </si>
  <si>
    <t>Gadget X</t>
  </si>
  <si>
    <t>North</t>
  </si>
  <si>
    <t>2026-01-22</t>
  </si>
  <si>
    <t>Widget A</t>
  </si>
  <si>
    <t>2026-02-03</t>
  </si>
  <si>
    <t>Product B</t>
  </si>
  <si>
    <t>2026-02-14</t>
  </si>
  <si>
    <t>2026-03-01</t>
  </si>
  <si>
    <t>South</t>
  </si>
  <si>
    <t>2026-03-18</t>
  </si>
  <si>
    <t>2026-04-05</t>
  </si>
  <si>
    <t>2026-04-21</t>
  </si>
  <si>
    <t>2026-05-02</t>
  </si>
  <si>
    <t>2026-05-19</t>
  </si>
  <si>
    <t>The summary formulas on the right reference this table (A2:D13).</t>
  </si>
  <si>
    <t>Dates are real date values so date-range COUNTIFS work.</t>
  </si>
  <si>
    <t>Question</t>
  </si>
  <si>
    <t>Formula Used</t>
  </si>
  <si>
    <t>Result</t>
  </si>
  <si>
    <t>East region orders</t>
  </si>
  <si>
    <t>=COUNTIF('Orders Data'!B2:B13,"East")</t>
  </si>
  <si>
    <t>Orders over $500</t>
  </si>
  <si>
    <t>=COUNTIF('Orders Data'!C2:C13,"&gt;500")</t>
  </si>
  <si>
    <t>Widget* products</t>
  </si>
  <si>
    <t>=COUNTIF('Orders Data'!A2:A13,"Widget*")</t>
  </si>
  <si>
    <t>Not Product A</t>
  </si>
  <si>
    <t>=COUNTIF('Orders Data'!A2:A13,"&lt;&gt;Product A")</t>
  </si>
  <si>
    <t>East AND Product A</t>
  </si>
  <si>
    <t>=COUNTIFS('Orders Data'!B2:B13,"East",'Orders Data'!A2:A13,"Product A")</t>
  </si>
  <si>
    <t>Between $100 and $500</t>
  </si>
  <si>
    <t>=COUNTIFS('Orders Data'!C2:C13,"&gt;=100",'Orders Data'!C2:C13,"&lt;=500")</t>
  </si>
  <si>
    <t>Orders in 2026</t>
  </si>
  <si>
    <t>=COUNTIFS('Orders Data'!D2:D13,"&gt;=1/1/2026",'Orders Data'!D2:D13,"&lt;=12/31/2026")</t>
  </si>
  <si>
    <t>The Formula Used column stores the formula as TEXT so you can read and copy it.</t>
  </si>
  <si>
    <t>The Result column holds the live formula — change the Orders Data sheet and these update.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</si>
</sst>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i/>
      <color rgb="FF6B728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7A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0" customWidth="1"/>
    <col min="3" max="3" width="11" customWidth="1"/>
    <col min="4" max="4" width="13" customWidth="1"/>
  </cols>
  <sheetData>
    <row r="1" ht="22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s="2">
        <v>320</v>
      </c>
      <c r="D2" s="3" t="s">
        <v>6</v>
      </c>
    </row>
    <row r="3" spans="1:4" x14ac:dyDescent="0.25">
      <c r="A3" t="s">
        <v>7</v>
      </c>
      <c r="B3" t="s">
        <v>8</v>
      </c>
      <c r="C3" s="2">
        <v>780</v>
      </c>
      <c r="D3" s="3" t="s">
        <v>9</v>
      </c>
    </row>
    <row r="4" spans="1:4" x14ac:dyDescent="0.25">
      <c r="A4" t="s">
        <v>4</v>
      </c>
      <c r="B4" t="s">
        <v>5</v>
      </c>
      <c r="C4" s="2">
        <v>640</v>
      </c>
      <c r="D4" s="3" t="s">
        <v>10</v>
      </c>
    </row>
    <row r="5" spans="1:4" x14ac:dyDescent="0.25">
      <c r="A5" t="s">
        <v>11</v>
      </c>
      <c r="B5" t="s">
        <v>12</v>
      </c>
      <c r="C5" s="2">
        <v>150</v>
      </c>
      <c r="D5" s="3" t="s">
        <v>13</v>
      </c>
    </row>
    <row r="6" spans="1:4" x14ac:dyDescent="0.25">
      <c r="A6" t="s">
        <v>14</v>
      </c>
      <c r="B6" t="s">
        <v>5</v>
      </c>
      <c r="C6" s="2">
        <v>95</v>
      </c>
      <c r="D6" s="3" t="s">
        <v>15</v>
      </c>
    </row>
    <row r="7" spans="1:4" x14ac:dyDescent="0.25">
      <c r="A7" t="s">
        <v>16</v>
      </c>
      <c r="B7" t="s">
        <v>8</v>
      </c>
      <c r="C7" s="2">
        <v>540</v>
      </c>
      <c r="D7" s="3" t="s">
        <v>17</v>
      </c>
    </row>
    <row r="8" spans="1:4" x14ac:dyDescent="0.25">
      <c r="A8" t="s">
        <v>7</v>
      </c>
      <c r="B8" t="s">
        <v>12</v>
      </c>
      <c r="C8" s="2">
        <v>410</v>
      </c>
      <c r="D8" s="3" t="s">
        <v>18</v>
      </c>
    </row>
    <row r="9" spans="1:4" x14ac:dyDescent="0.25">
      <c r="A9" t="s">
        <v>4</v>
      </c>
      <c r="B9" t="s">
        <v>19</v>
      </c>
      <c r="C9" s="2">
        <v>890</v>
      </c>
      <c r="D9" s="3" t="s">
        <v>20</v>
      </c>
    </row>
    <row r="10" spans="1:4" x14ac:dyDescent="0.25">
      <c r="A10" t="s">
        <v>11</v>
      </c>
      <c r="B10" t="s">
        <v>5</v>
      </c>
      <c r="C10" s="2">
        <v>230</v>
      </c>
      <c r="D10" s="3" t="s">
        <v>21</v>
      </c>
    </row>
    <row r="11" spans="1:4" x14ac:dyDescent="0.25">
      <c r="A11" t="s">
        <v>14</v>
      </c>
      <c r="B11" t="s">
        <v>8</v>
      </c>
      <c r="C11" s="2">
        <v>660</v>
      </c>
      <c r="D11" s="3" t="s">
        <v>22</v>
      </c>
    </row>
    <row r="12" spans="1:4" x14ac:dyDescent="0.25">
      <c r="A12" t="s">
        <v>16</v>
      </c>
      <c r="B12" t="s">
        <v>12</v>
      </c>
      <c r="C12" s="2">
        <v>120</v>
      </c>
      <c r="D12" s="3" t="s">
        <v>23</v>
      </c>
    </row>
    <row r="13" spans="1:4" x14ac:dyDescent="0.25">
      <c r="A13" t="s">
        <v>7</v>
      </c>
      <c r="B13" t="s">
        <v>5</v>
      </c>
      <c r="C13" s="2">
        <v>1000</v>
      </c>
      <c r="D13" s="3" t="s">
        <v>24</v>
      </c>
    </row>
    <row r="15" spans="1:1" x14ac:dyDescent="0.25">
      <c r="A15" s="4" t="s">
        <v>25</v>
      </c>
    </row>
    <row r="16" spans="1:1" x14ac:dyDescent="0.25">
      <c r="A16" s="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4" customWidth="1"/>
    <col min="3" max="3" width="10" customWidth="1"/>
  </cols>
  <sheetData>
    <row r="1" ht="22" customHeight="1" spans="1:3" x14ac:dyDescent="0.25">
      <c r="A1" s="1" t="s">
        <v>27</v>
      </c>
      <c r="B1" s="1" t="s">
        <v>28</v>
      </c>
      <c r="C1" s="1" t="s">
        <v>29</v>
      </c>
    </row>
    <row r="2" spans="1:3" x14ac:dyDescent="0.25">
      <c r="A2" t="s">
        <v>30</v>
      </c>
      <c r="B2" t="s">
        <v>31</v>
      </c>
      <c r="C2" s="5">
        <f>COUNTIF('Orders Data'!B2:B13,"East")</f>
      </c>
    </row>
    <row r="3" spans="1:3" x14ac:dyDescent="0.25">
      <c r="A3" t="s">
        <v>32</v>
      </c>
      <c r="B3" t="s">
        <v>33</v>
      </c>
      <c r="C3" s="5">
        <f>COUNTIF('Orders Data'!C2:C13,"&gt;500")</f>
      </c>
    </row>
    <row r="4" spans="1:3" x14ac:dyDescent="0.25">
      <c r="A4" t="s">
        <v>34</v>
      </c>
      <c r="B4" t="s">
        <v>35</v>
      </c>
      <c r="C4" s="5">
        <f>COUNTIF('Orders Data'!A2:A13,"Widget*")</f>
      </c>
    </row>
    <row r="5" spans="1:3" x14ac:dyDescent="0.25">
      <c r="A5" t="s">
        <v>36</v>
      </c>
      <c r="B5" t="s">
        <v>37</v>
      </c>
      <c r="C5" s="5">
        <f>COUNTIF('Orders Data'!A2:A13,"&lt;&gt;Product A")</f>
      </c>
    </row>
    <row r="6" spans="1:3" x14ac:dyDescent="0.25">
      <c r="A6" t="s">
        <v>38</v>
      </c>
      <c r="B6" t="s">
        <v>39</v>
      </c>
      <c r="C6" s="5">
        <f>COUNTIFS('Orders Data'!B2:B13,"East",'Orders Data'!A2:A13,"Product A")</f>
      </c>
    </row>
    <row r="7" spans="1:3" x14ac:dyDescent="0.25">
      <c r="A7" t="s">
        <v>40</v>
      </c>
      <c r="B7" t="s">
        <v>41</v>
      </c>
      <c r="C7" s="5">
        <f>COUNTIFS('Orders Data'!C2:C13,"&gt;=100",'Orders Data'!C2:C13,"&lt;=500")</f>
      </c>
    </row>
    <row r="8" spans="1:3" x14ac:dyDescent="0.25">
      <c r="A8" t="s">
        <v>42</v>
      </c>
      <c r="B8" t="s">
        <v>43</v>
      </c>
      <c r="C8" s="5">
        <f>COUNTIFS('Orders Data'!D2:D13,"&gt;=1/1/2026",'Orders Data'!D2:D13,"&lt;=12/31/2026")</f>
      </c>
    </row>
    <row r="10" spans="1:1" x14ac:dyDescent="0.25">
      <c r="A10" s="4" t="s">
        <v>44</v>
      </c>
    </row>
    <row r="11" spans="1:1" x14ac:dyDescent="0.25">
      <c r="A11" s="4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 Data</vt:lpstr>
      <vt:lpstr>Summary Formulas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SheetHub (sheethub.web.id)</dc:creator>
  <dc:title/>
  <dc:subject/>
  <dc:description/>
  <cp:keywords/>
  <cp:category/>
  <cp:lastModifiedBy>Unknown</cp:lastModifiedBy>
  <dcterms:created xsi:type="dcterms:W3CDTF">2026-08-30T06:28:37Z</dcterms:created>
  <dcterms:modified xsi:type="dcterms:W3CDTF">2026-08-30T06:28:37Z</dcterms:modified>
</cp:coreProperties>
</file>