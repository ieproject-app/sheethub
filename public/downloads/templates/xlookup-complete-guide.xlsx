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AAE5FA05-DDFF-4067-8320-CF2E4ACD43F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asic &amp; Errors" sheetId="1" r:id="rId1"/>
    <sheet name="Left Lookup &amp; Spill" sheetId="2" r:id="rId2"/>
    <sheet name="Approximate (Tax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I2" i="2" a="1"/>
  <c r="I2" i="2" s="1"/>
  <c r="F2" i="2"/>
  <c r="H2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<sst xmlns="http://schemas.openxmlformats.org/spreadsheetml/2006/main" count="60" uniqueCount="54">
  <si>
    <t>Product ID</t>
  </si>
  <si>
    <t>Product Name</t>
  </si>
  <si>
    <t>Price</t>
  </si>
  <si>
    <t>Stock</t>
  </si>
  <si>
    <t/>
  </si>
  <si>
    <t>Lookup ID (edit)</t>
  </si>
  <si>
    <t>Exact Match Price</t>
  </si>
  <si>
    <t>Custom Not Found</t>
  </si>
  <si>
    <t>P101</t>
  </si>
  <si>
    <t>Desk Lamp</t>
  </si>
  <si>
    <t>P102</t>
  </si>
  <si>
    <t>Monitor Arm</t>
  </si>
  <si>
    <t>P103</t>
  </si>
  <si>
    <t>Keyboard</t>
  </si>
  <si>
    <t>P104</t>
  </si>
  <si>
    <t>Webcam</t>
  </si>
  <si>
    <t>P105</t>
  </si>
  <si>
    <t>USB Hub</t>
  </si>
  <si>
    <t>P106</t>
  </si>
  <si>
    <t>Laptop Stand</t>
  </si>
  <si>
    <t>Exact match is XLOOKUP's default — no match_mode argument needed.</t>
  </si>
  <si>
    <t>Without the 4th argument, a missing ID returns #N/A; with it, a friendly message.</t>
  </si>
  <si>
    <t>Employee</t>
  </si>
  <si>
    <t>Employee ID</t>
  </si>
  <si>
    <t>Badge Code</t>
  </si>
  <si>
    <t>Badge (edit)</t>
  </si>
  <si>
    <t>Employee (left lookup)</t>
  </si>
  <si>
    <t>Product ID (edit)</t>
  </si>
  <si>
    <t>Spill: Name / Price / Stock</t>
  </si>
  <si>
    <t>Alicia Fields</t>
  </si>
  <si>
    <t>E-2041</t>
  </si>
  <si>
    <t>B-7712</t>
  </si>
  <si>
    <t>B-7704</t>
  </si>
  <si>
    <t>Ben Ortega</t>
  </si>
  <si>
    <t>E-2042</t>
  </si>
  <si>
    <t>Cara Miles</t>
  </si>
  <si>
    <t>E-2043</t>
  </si>
  <si>
    <t>B-7731</t>
  </si>
  <si>
    <t>Dan Whitby</t>
  </si>
  <si>
    <t>E-2044</t>
  </si>
  <si>
    <t>B-7745</t>
  </si>
  <si>
    <t>Elena Ruiz</t>
  </si>
  <si>
    <t>E-2045</t>
  </si>
  <si>
    <t>B-7759</t>
  </si>
  <si>
    <t>Frank Osei</t>
  </si>
  <si>
    <t>E-2046</t>
  </si>
  <si>
    <t>B-7763</t>
  </si>
  <si>
    <t>Left lookup: the search column (Badge Code) sits to the RIGHT of the returned column — impossible with VLOOKUP.</t>
  </si>
  <si>
    <t>The spill formula returns 3 columns at once; results fill J, K, L automatically.</t>
  </si>
  <si>
    <t>Income Threshold</t>
  </si>
  <si>
    <t>Tax Rate</t>
  </si>
  <si>
    <t>Taxable Income (edit)</t>
  </si>
  <si>
    <t>Matched Rate</t>
  </si>
  <si>
    <t>match_mode -1 = exact or next smaller: 75000 falls into the 50000 bracket (20%).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</si>
</sst>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6B7280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7A53"/>
      </patternFill>
    </fill>
    <fill>
      <patternFill patternType="solid">
        <fgColor rgb="FFFFF3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2" fontId="0" fillId="0" borderId="0" xfId="0" applyNumberFormat="1"/>
    <xf numFmtId="0" fontId="0" fillId="3" borderId="0" xfId="0" applyFill="1"/>
    <xf numFmtId="0" fontId="2" fillId="0" borderId="0" xfId="0" applyFont="1"/>
    <xf numFmtId="16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12" customWidth="1"/>
    <col min="2" max="2" width="18" customWidth="1"/>
    <col min="3" max="3" width="10" customWidth="1"/>
    <col min="5" max="5" width="3" customWidth="1"/>
    <col min="6" max="6" width="15" customWidth="1"/>
    <col min="7" max="8" width="17" customWidth="1"/>
  </cols>
  <sheetData>
    <row r="1" spans="1:8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24.5</v>
      </c>
      <c r="D2">
        <v>40</v>
      </c>
      <c r="F2" s="3" t="s">
        <v>10</v>
      </c>
      <c r="G2">
        <f>_xlfn.SINGLE(_xlfn.XLOOKUP(F2,A2:A7,C2:C7))</f>
        <v>89.99</v>
      </c>
      <c r="H2" t="str">
        <f>_xlfn.SINGLE(_xlfn.XLOOKUP("P999",A2:A7,C2:C7,"Not found"))</f>
        <v>Not found</v>
      </c>
    </row>
    <row r="3" spans="1:8" x14ac:dyDescent="0.25">
      <c r="A3" t="s">
        <v>10</v>
      </c>
      <c r="B3" t="s">
        <v>11</v>
      </c>
      <c r="C3" s="2">
        <v>89.99</v>
      </c>
      <c r="D3">
        <v>25</v>
      </c>
    </row>
    <row r="4" spans="1:8" x14ac:dyDescent="0.25">
      <c r="A4" t="s">
        <v>12</v>
      </c>
      <c r="B4" t="s">
        <v>13</v>
      </c>
      <c r="C4" s="2">
        <v>45</v>
      </c>
      <c r="D4">
        <v>60</v>
      </c>
    </row>
    <row r="5" spans="1:8" x14ac:dyDescent="0.25">
      <c r="A5" t="s">
        <v>14</v>
      </c>
      <c r="B5" t="s">
        <v>15</v>
      </c>
      <c r="C5" s="2">
        <v>59.95</v>
      </c>
      <c r="D5">
        <v>15</v>
      </c>
    </row>
    <row r="6" spans="1:8" x14ac:dyDescent="0.25">
      <c r="A6" t="s">
        <v>16</v>
      </c>
      <c r="B6" t="s">
        <v>17</v>
      </c>
      <c r="C6" s="2">
        <v>32.4</v>
      </c>
      <c r="D6">
        <v>80</v>
      </c>
    </row>
    <row r="7" spans="1:8" x14ac:dyDescent="0.25">
      <c r="A7" t="s">
        <v>18</v>
      </c>
      <c r="B7" t="s">
        <v>19</v>
      </c>
      <c r="C7" s="2">
        <v>41.75</v>
      </c>
      <c r="D7">
        <v>35</v>
      </c>
    </row>
    <row r="9" spans="1:8" x14ac:dyDescent="0.25">
      <c r="A9" s="4" t="s">
        <v>20</v>
      </c>
    </row>
    <row r="10" spans="1:8" x14ac:dyDescent="0.25">
      <c r="A10" s="4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1" width="14" customWidth="1"/>
    <col min="2" max="3" width="13" customWidth="1"/>
    <col min="4" max="4" width="3" customWidth="1"/>
    <col min="5" max="5" width="12" customWidth="1"/>
    <col min="6" max="6" width="20" customWidth="1"/>
    <col min="7" max="7" width="3" customWidth="1"/>
    <col min="8" max="8" width="15" customWidth="1"/>
    <col min="9" max="9" width="26" customWidth="1"/>
  </cols>
  <sheetData>
    <row r="1" spans="1:11" ht="21.95" customHeight="1" x14ac:dyDescent="0.25">
      <c r="A1" s="1" t="s">
        <v>22</v>
      </c>
      <c r="B1" s="1" t="s">
        <v>23</v>
      </c>
      <c r="C1" s="1" t="s">
        <v>24</v>
      </c>
      <c r="D1" s="1" t="s">
        <v>4</v>
      </c>
      <c r="E1" s="1" t="s">
        <v>25</v>
      </c>
      <c r="F1" s="1" t="s">
        <v>26</v>
      </c>
      <c r="G1" s="1" t="s">
        <v>4</v>
      </c>
      <c r="H1" s="1" t="s">
        <v>27</v>
      </c>
      <c r="I1" s="1" t="s">
        <v>28</v>
      </c>
    </row>
    <row r="2" spans="1:11" x14ac:dyDescent="0.25">
      <c r="A2" t="s">
        <v>29</v>
      </c>
      <c r="B2" t="s">
        <v>30</v>
      </c>
      <c r="C2" t="s">
        <v>31</v>
      </c>
      <c r="E2" s="3" t="s">
        <v>32</v>
      </c>
      <c r="F2" t="str">
        <f>_xlfn.SINGLE(_xlfn.XLOOKUP(E2,C2:C7,A2:A7))</f>
        <v>Ben Ortega</v>
      </c>
      <c r="H2" s="3" t="s">
        <v>10</v>
      </c>
      <c r="I2" t="str" cm="1">
        <f t="array" ref="I2:K2">_xlfn.XLOOKUP(H2,'Basic &amp; Errors'!A2:A7,'Basic &amp; Errors'!B2:D7)</f>
        <v>Monitor Arm</v>
      </c>
      <c r="J2">
        <v>89.99</v>
      </c>
      <c r="K2">
        <v>25</v>
      </c>
    </row>
    <row r="3" spans="1:11" x14ac:dyDescent="0.25">
      <c r="A3" t="s">
        <v>33</v>
      </c>
      <c r="B3" t="s">
        <v>34</v>
      </c>
      <c r="C3" t="s">
        <v>32</v>
      </c>
    </row>
    <row r="4" spans="1:11" x14ac:dyDescent="0.25">
      <c r="A4" t="s">
        <v>35</v>
      </c>
      <c r="B4" t="s">
        <v>36</v>
      </c>
      <c r="C4" t="s">
        <v>37</v>
      </c>
    </row>
    <row r="5" spans="1:11" x14ac:dyDescent="0.25">
      <c r="A5" t="s">
        <v>38</v>
      </c>
      <c r="B5" t="s">
        <v>39</v>
      </c>
      <c r="C5" t="s">
        <v>40</v>
      </c>
    </row>
    <row r="6" spans="1:11" x14ac:dyDescent="0.25">
      <c r="A6" t="s">
        <v>41</v>
      </c>
      <c r="B6" t="s">
        <v>42</v>
      </c>
      <c r="C6" t="s">
        <v>43</v>
      </c>
    </row>
    <row r="7" spans="1:11" x14ac:dyDescent="0.25">
      <c r="A7" t="s">
        <v>44</v>
      </c>
      <c r="B7" t="s">
        <v>45</v>
      </c>
      <c r="C7" t="s">
        <v>46</v>
      </c>
    </row>
    <row r="9" spans="1:11" x14ac:dyDescent="0.25">
      <c r="A9" s="4" t="s">
        <v>47</v>
      </c>
    </row>
    <row r="10" spans="1:11" x14ac:dyDescent="0.25">
      <c r="A10" s="4" t="s">
        <v>48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17" customWidth="1"/>
    <col min="2" max="2" width="11" customWidth="1"/>
    <col min="3" max="3" width="3" customWidth="1"/>
    <col min="4" max="4" width="19" customWidth="1"/>
    <col min="5" max="5" width="13" customWidth="1"/>
  </cols>
  <sheetData>
    <row r="1" spans="1:5" ht="21.95" customHeight="1" x14ac:dyDescent="0.25">
      <c r="A1" s="1" t="s">
        <v>49</v>
      </c>
      <c r="B1" s="1" t="s">
        <v>50</v>
      </c>
      <c r="C1" s="1" t="s">
        <v>4</v>
      </c>
      <c r="D1" s="1" t="s">
        <v>51</v>
      </c>
      <c r="E1" s="1" t="s">
        <v>52</v>
      </c>
    </row>
    <row r="2" spans="1:5" x14ac:dyDescent="0.25">
      <c r="A2">
        <v>0</v>
      </c>
      <c r="B2" s="5">
        <v>0.05</v>
      </c>
      <c r="D2" s="3">
        <v>75000</v>
      </c>
      <c r="E2" s="6">
        <f>_xlfn.XLOOKUP(D2,A2:A5,B2:B5,,-1)</f>
        <v>0.2</v>
      </c>
    </row>
    <row r="3" spans="1:5" x14ac:dyDescent="0.25">
      <c r="A3">
        <v>20000</v>
      </c>
      <c r="B3" s="5">
        <v>0.1</v>
      </c>
    </row>
    <row r="4" spans="1:5" x14ac:dyDescent="0.25">
      <c r="A4">
        <v>50000</v>
      </c>
      <c r="B4" s="5">
        <v>0.2</v>
      </c>
    </row>
    <row r="5" spans="1:5" x14ac:dyDescent="0.25">
      <c r="A5">
        <v>100000</v>
      </c>
      <c r="B5" s="5">
        <v>0.3</v>
      </c>
    </row>
    <row r="7" spans="1:5" x14ac:dyDescent="0.25">
      <c r="A7" s="4" t="s">
        <v>53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&amp; Errors</vt:lpstr>
      <vt:lpstr>Left Lookup &amp; Spill</vt:lpstr>
      <vt:lpstr>Approximate (Tax)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2026-08-30T06:28:37Z</dcterms:created>
  <dcterms:modified xsi:type="dcterms:W3CDTF">2026-09-24T05:29:57Z</dcterms:modified>
  <cp:category/>
</cp:coreProperties>
</file>